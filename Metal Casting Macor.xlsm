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texastechuniversity-my.sharepoint.com/personal/garrett_l_rust_ttu_edu/Documents/Porifio/"/>
    </mc:Choice>
  </mc:AlternateContent>
  <xr:revisionPtr revIDLastSave="0" documentId="8_{EDAB494E-4C7F-4CBC-8549-B410F75E510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.28 Problem #5" sheetId="2" r:id="rId1"/>
    <sheet name="My VBA code.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M63" i="2" l="1"/>
  <c r="M62" i="2"/>
  <c r="E63" i="2"/>
  <c r="D63" i="2"/>
  <c r="C63" i="2"/>
  <c r="F63" i="2"/>
  <c r="G63" i="2"/>
  <c r="H63" i="2"/>
  <c r="I63" i="2"/>
  <c r="J63" i="2"/>
  <c r="K63" i="2"/>
  <c r="L63" i="2"/>
  <c r="N63" i="2"/>
  <c r="O63" i="2"/>
  <c r="P63" i="2"/>
  <c r="Q63" i="2"/>
  <c r="R63" i="2"/>
  <c r="D62" i="2"/>
  <c r="E62" i="2"/>
  <c r="F62" i="2"/>
  <c r="G62" i="2"/>
  <c r="H62" i="2"/>
  <c r="I62" i="2"/>
  <c r="J62" i="2"/>
  <c r="K62" i="2"/>
  <c r="L62" i="2"/>
  <c r="N62" i="2"/>
  <c r="O62" i="2"/>
  <c r="P62" i="2"/>
  <c r="Q62" i="2"/>
  <c r="R62" i="2"/>
  <c r="C62" i="2"/>
  <c r="C61" i="2"/>
  <c r="D61" i="2" s="1"/>
  <c r="E61" i="2" s="1"/>
  <c r="F61" i="2" s="1"/>
  <c r="G61" i="2" s="1"/>
  <c r="H61" i="2" s="1"/>
  <c r="I61" i="2" s="1"/>
  <c r="J61" i="2" s="1"/>
  <c r="K61" i="2" s="1"/>
  <c r="L61" i="2" s="1"/>
  <c r="M61" i="2" s="1"/>
  <c r="N61" i="2" s="1"/>
  <c r="O61" i="2" s="1"/>
  <c r="P61" i="2" s="1"/>
  <c r="Q61" i="2" s="1"/>
  <c r="R61" i="2" s="1"/>
  <c r="C33" i="2"/>
  <c r="D33" i="2" s="1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O33" i="2" s="1"/>
  <c r="P33" i="2" s="1"/>
  <c r="Q33" i="2" s="1"/>
  <c r="R33" i="2" s="1"/>
  <c r="B35" i="2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C4" i="2"/>
  <c r="D4" i="2" s="1"/>
  <c r="E4" i="2" s="1"/>
  <c r="F4" i="2" s="1"/>
  <c r="G4" i="2" s="1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C67" i="2" l="1"/>
  <c r="C68" i="2" s="1"/>
  <c r="B49" i="2"/>
  <c r="B50" i="2" s="1"/>
  <c r="B51" i="2" s="1"/>
  <c r="B52" i="2" s="1"/>
  <c r="B53" i="2" s="1"/>
  <c r="B54" i="2" s="1"/>
  <c r="B55" i="2" s="1"/>
  <c r="B56" i="2" s="1"/>
  <c r="B57" i="2" s="1"/>
  <c r="B58" i="2" s="1"/>
  <c r="B59" i="2" s="1"/>
</calcChain>
</file>

<file path=xl/sharedStrings.xml><?xml version="1.0" encoding="utf-8"?>
<sst xmlns="http://schemas.openxmlformats.org/spreadsheetml/2006/main" count="57" uniqueCount="48">
  <si>
    <t>Number of Castings Scheduled</t>
  </si>
  <si>
    <t># Good Castings</t>
  </si>
  <si>
    <t>Units Produced</t>
  </si>
  <si>
    <t>Expected Value</t>
  </si>
  <si>
    <t>Proabillty of loss</t>
  </si>
  <si>
    <t>Maximum value</t>
  </si>
  <si>
    <t>Number to produce</t>
  </si>
  <si>
    <t>Sub ExpectedValue()</t>
  </si>
  <si>
    <t>Dim E_profit As Long</t>
  </si>
  <si>
    <t>Dim E_revenue As Long</t>
  </si>
  <si>
    <t>Dim E_cost As Long</t>
  </si>
  <si>
    <t>Dim Good_Parts As Long</t>
  </si>
  <si>
    <t>Dim Produced_Parts As Long</t>
  </si>
  <si>
    <t>Dim Row_Good As Long</t>
  </si>
  <si>
    <t>Dim Row_Produced As Long</t>
  </si>
  <si>
    <t>For Good_Parts = 34 To 59</t>
  </si>
  <si>
    <t xml:space="preserve">    For Produced_Parts = 3 To 18</t>
  </si>
  <si>
    <t xml:space="preserve">        Row_Good = Cells(Good_Parts, 2)</t>
  </si>
  <si>
    <t xml:space="preserve">        Row_Produced = Cells(4, Produced_Parts)</t>
  </si>
  <si>
    <t xml:space="preserve">            If Row_Good &lt; 15 Then</t>
  </si>
  <si>
    <t xml:space="preserve">                E_revenue = 75 * Row_Produced</t>
  </si>
  <si>
    <t xml:space="preserve">                E_cost = 550 * Row_Produced</t>
  </si>
  <si>
    <t xml:space="preserve">                E_profit = E_revenue - E_cost</t>
  </si>
  <si>
    <t xml:space="preserve">                Cells(Good_Parts, Produced_Parts).Value = E_profit</t>
  </si>
  <si>
    <t xml:space="preserve">            </t>
  </si>
  <si>
    <t xml:space="preserve">            ElseIf Row_Good &gt; 14 And Row_Good &lt; 21 Then</t>
  </si>
  <si>
    <t xml:space="preserve">                E_revenue = 1250 * Row_Good + 75 * (Row_Produced - Row_Good)</t>
  </si>
  <si>
    <t xml:space="preserve">                E_cost = 550 * Row_Produced + 125 * Row_Good</t>
  </si>
  <si>
    <t xml:space="preserve">                </t>
  </si>
  <si>
    <t xml:space="preserve">            ElseIf Row_Good &gt; 20 Then</t>
  </si>
  <si>
    <t xml:space="preserve">                E_revenue = 1250 * 20 + 75 * (Row_Produced - 20)</t>
  </si>
  <si>
    <t xml:space="preserve">                E_cost = 550 * Row_Produced + 125 * 20</t>
  </si>
  <si>
    <t xml:space="preserve">           </t>
  </si>
  <si>
    <t xml:space="preserve">            End If</t>
  </si>
  <si>
    <t xml:space="preserve">            If Row_Produced &gt;= Row_Good Then</t>
  </si>
  <si>
    <t xml:space="preserve">            Else</t>
  </si>
  <si>
    <t xml:space="preserve">                Cells(Good_Parts, Produced_Parts).Value = 0</t>
  </si>
  <si>
    <t xml:space="preserve">                               </t>
  </si>
  <si>
    <t xml:space="preserve">    Next Produced_Parts</t>
  </si>
  <si>
    <t>Next Good_Parts</t>
  </si>
  <si>
    <t>End Sub</t>
  </si>
  <si>
    <t xml:space="preserve"> Here is my Expected revenue, Expected cost , Expected profit for good castings  between 15 and 20</t>
  </si>
  <si>
    <t xml:space="preserve"> Here is my Expected revenue, Expected cost , Expected profit for good castings &gt; 15</t>
  </si>
  <si>
    <t xml:space="preserve"> Here is my Expected revenue, Expected cost , Expected profit for good castings  &gt; 20</t>
  </si>
  <si>
    <t>Row_Produced pulls the number of castings produced ( Q)</t>
  </si>
  <si>
    <t>Row_Good pulls the number of good castings (X)</t>
  </si>
  <si>
    <t>This stats that if the number of castings produced is greater than or equal to the number of good castings. Then, excel stores the expected profite into the cell</t>
  </si>
  <si>
    <t>If it is oppsoite, excell stores zero becacaus you can't have 16 casting if you only have you only produced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</si>
</sst>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"/>
  </numFmts>
  <fonts count="5" x14ac:knownFonts="1">
    <font>
      <sz val="10"/>
      <name val="Arial"/>
    </font>
    <font>
      <sz val="11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4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6">
    <xf numFmtId="0" fontId="0" fillId="0" borderId="0" xfId="0"/>
    <xf numFmtId="2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2" borderId="0" xfId="0" applyFill="1" applyAlignment="1">
      <alignment horizontal="center"/>
    </xf>
    <xf numFmtId="44" fontId="0" fillId="2" borderId="0" xfId="1" applyFont="1" applyFill="1"/>
    <xf numFmtId="164" fontId="0" fillId="2" borderId="0" xfId="0" applyNumberFormat="1" applyFill="1"/>
    <xf numFmtId="44" fontId="1" fillId="0" borderId="1" xfId="1" applyFont="1" applyBorder="1" applyAlignment="1">
      <alignment horizontal="center"/>
    </xf>
    <xf numFmtId="44" fontId="1" fillId="0" borderId="2" xfId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4" fontId="1" fillId="0" borderId="3" xfId="1" applyFont="1" applyBorder="1" applyAlignment="1">
      <alignment horizontal="center"/>
    </xf>
    <xf numFmtId="44" fontId="1" fillId="0" borderId="4" xfId="1" applyFon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</cellXfs>
  <cellStyles count="2">
    <cellStyle name="Currency" xfId="1" builtinId="4"/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33</xdr:row>
          <xdr:rowOff>95250</xdr:rowOff>
        </xdr:from>
        <xdr:to>
          <xdr:col>22</xdr:col>
          <xdr:colOff>209550</xdr:colOff>
          <xdr:row>42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the text, and push the button!!!!!!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68"/>
  <sheetViews>
    <sheetView tabSelected="1" topLeftCell="A4" zoomScale="76" workbookViewId="0">
      <selection activeCell="O57" sqref="O57"/>
    </sheetView>
  </sheetViews>
  <sheetFormatPr defaultColWidth="8.85546875" defaultRowHeight="12.75" x14ac:dyDescent="0.2"/>
  <cols>
    <col min="1" max="1" width="4.28515625" bestFit="1" customWidth="1"/>
    <col min="2" max="2" width="18" bestFit="1" customWidth="1"/>
    <col min="3" max="5" width="12.5703125" bestFit="1" customWidth="1"/>
    <col min="6" max="9" width="12.85546875" bestFit="1" customWidth="1"/>
    <col min="10" max="18" width="13.7109375" bestFit="1" customWidth="1"/>
    <col min="32" max="58" width="4" bestFit="1" customWidth="1"/>
  </cols>
  <sheetData>
    <row r="1" spans="1:18" x14ac:dyDescent="0.2">
      <c r="C1" s="3"/>
    </row>
    <row r="3" spans="1:18" x14ac:dyDescent="0.2">
      <c r="C3" s="24" t="s">
        <v>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1:18" ht="13.5" thickBot="1" x14ac:dyDescent="0.25">
      <c r="C4" s="4">
        <f>15</f>
        <v>15</v>
      </c>
      <c r="D4" s="4">
        <f>C4+1</f>
        <v>16</v>
      </c>
      <c r="E4" s="4">
        <f t="shared" ref="E4:R4" si="0">D4+1</f>
        <v>17</v>
      </c>
      <c r="F4" s="4">
        <f t="shared" si="0"/>
        <v>18</v>
      </c>
      <c r="G4" s="4">
        <f t="shared" si="0"/>
        <v>19</v>
      </c>
      <c r="H4" s="4">
        <f t="shared" si="0"/>
        <v>20</v>
      </c>
      <c r="I4" s="4">
        <f t="shared" si="0"/>
        <v>21</v>
      </c>
      <c r="J4" s="4">
        <f t="shared" si="0"/>
        <v>22</v>
      </c>
      <c r="K4" s="4">
        <f t="shared" si="0"/>
        <v>23</v>
      </c>
      <c r="L4" s="4">
        <f t="shared" si="0"/>
        <v>24</v>
      </c>
      <c r="M4" s="4">
        <f t="shared" si="0"/>
        <v>25</v>
      </c>
      <c r="N4" s="4">
        <f t="shared" si="0"/>
        <v>26</v>
      </c>
      <c r="O4" s="4">
        <f t="shared" si="0"/>
        <v>27</v>
      </c>
      <c r="P4" s="4">
        <f t="shared" si="0"/>
        <v>28</v>
      </c>
      <c r="Q4" s="4">
        <f t="shared" si="0"/>
        <v>29</v>
      </c>
      <c r="R4" s="4">
        <f t="shared" si="0"/>
        <v>30</v>
      </c>
    </row>
    <row r="5" spans="1:18" ht="15.75" thickBot="1" x14ac:dyDescent="0.3">
      <c r="A5" s="25" t="s">
        <v>1</v>
      </c>
      <c r="B5">
        <v>5</v>
      </c>
      <c r="C5" s="1">
        <v>0.05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</row>
    <row r="6" spans="1:18" ht="15.75" thickBot="1" x14ac:dyDescent="0.3">
      <c r="A6" s="25"/>
      <c r="B6">
        <f>B5+1</f>
        <v>6</v>
      </c>
      <c r="C6" s="1">
        <v>0.05</v>
      </c>
      <c r="D6" s="1">
        <v>0.05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</row>
    <row r="7" spans="1:18" ht="15.75" thickBot="1" x14ac:dyDescent="0.3">
      <c r="A7" s="25"/>
      <c r="B7">
        <f t="shared" ref="B7:B30" si="1">B6+1</f>
        <v>7</v>
      </c>
      <c r="C7" s="1">
        <v>0.05</v>
      </c>
      <c r="D7" s="1">
        <v>0.05</v>
      </c>
      <c r="E7" s="1">
        <v>0.05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</row>
    <row r="8" spans="1:18" ht="15.75" thickBot="1" x14ac:dyDescent="0.3">
      <c r="A8" s="25"/>
      <c r="B8">
        <f t="shared" si="1"/>
        <v>8</v>
      </c>
      <c r="C8" s="1">
        <v>0.05</v>
      </c>
      <c r="D8" s="1">
        <v>0.05</v>
      </c>
      <c r="E8" s="1">
        <v>0.05</v>
      </c>
      <c r="F8" s="1">
        <v>0.05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</row>
    <row r="9" spans="1:18" ht="15.75" thickBot="1" x14ac:dyDescent="0.3">
      <c r="A9" s="25"/>
      <c r="B9">
        <f t="shared" si="1"/>
        <v>9</v>
      </c>
      <c r="C9" s="1">
        <v>0.05</v>
      </c>
      <c r="D9" s="1">
        <v>0.05</v>
      </c>
      <c r="E9" s="1">
        <v>0.05</v>
      </c>
      <c r="F9" s="1">
        <v>0.05</v>
      </c>
      <c r="G9" s="1">
        <v>0.05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</row>
    <row r="10" spans="1:18" ht="15.75" thickBot="1" x14ac:dyDescent="0.3">
      <c r="A10" s="25"/>
      <c r="B10">
        <f t="shared" si="1"/>
        <v>10</v>
      </c>
      <c r="C10" s="1">
        <v>0.05</v>
      </c>
      <c r="D10" s="1">
        <v>0.05</v>
      </c>
      <c r="E10" s="1">
        <v>0.05</v>
      </c>
      <c r="F10" s="1">
        <v>0.05</v>
      </c>
      <c r="G10" s="1">
        <v>0.05</v>
      </c>
      <c r="H10" s="1">
        <v>0.05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</row>
    <row r="11" spans="1:18" ht="15.75" thickBot="1" x14ac:dyDescent="0.3">
      <c r="A11" s="25"/>
      <c r="B11">
        <f t="shared" si="1"/>
        <v>11</v>
      </c>
      <c r="C11" s="1">
        <v>0.1</v>
      </c>
      <c r="D11" s="1">
        <v>0.05</v>
      </c>
      <c r="E11" s="1">
        <v>0.05</v>
      </c>
      <c r="F11" s="1">
        <v>0.05</v>
      </c>
      <c r="G11" s="1">
        <v>0.05</v>
      </c>
      <c r="H11" s="1">
        <v>0.05</v>
      </c>
      <c r="I11" s="1">
        <v>0.05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</row>
    <row r="12" spans="1:18" ht="15.75" thickBot="1" x14ac:dyDescent="0.3">
      <c r="A12" s="25"/>
      <c r="B12">
        <f t="shared" si="1"/>
        <v>12</v>
      </c>
      <c r="C12" s="1">
        <v>0.1</v>
      </c>
      <c r="D12" s="1">
        <v>0.1</v>
      </c>
      <c r="E12" s="1">
        <v>0.05</v>
      </c>
      <c r="F12" s="1">
        <v>0.05</v>
      </c>
      <c r="G12" s="1">
        <v>0.05</v>
      </c>
      <c r="H12" s="1">
        <v>0.05</v>
      </c>
      <c r="I12" s="1">
        <v>0.05</v>
      </c>
      <c r="J12" s="1">
        <v>0.05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</row>
    <row r="13" spans="1:18" ht="15.75" thickBot="1" x14ac:dyDescent="0.3">
      <c r="A13" s="25"/>
      <c r="B13">
        <f t="shared" si="1"/>
        <v>13</v>
      </c>
      <c r="C13" s="1">
        <v>0.15</v>
      </c>
      <c r="D13" s="1">
        <v>0.1</v>
      </c>
      <c r="E13" s="1">
        <v>0.1</v>
      </c>
      <c r="F13" s="1">
        <v>0.05</v>
      </c>
      <c r="G13" s="1">
        <v>0.05</v>
      </c>
      <c r="H13" s="1">
        <v>0.05</v>
      </c>
      <c r="I13" s="1">
        <v>0.05</v>
      </c>
      <c r="J13" s="1">
        <v>0.05</v>
      </c>
      <c r="K13" s="1">
        <v>0.05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</row>
    <row r="14" spans="1:18" ht="15.75" thickBot="1" x14ac:dyDescent="0.3">
      <c r="A14" s="25"/>
      <c r="B14">
        <f t="shared" si="1"/>
        <v>14</v>
      </c>
      <c r="C14" s="1">
        <v>0.15</v>
      </c>
      <c r="D14" s="1">
        <v>0.15</v>
      </c>
      <c r="E14" s="1">
        <v>0.1</v>
      </c>
      <c r="F14" s="1">
        <v>0.1</v>
      </c>
      <c r="G14" s="1">
        <v>0.05</v>
      </c>
      <c r="H14" s="1">
        <v>0.05</v>
      </c>
      <c r="I14" s="1">
        <v>0.05</v>
      </c>
      <c r="J14" s="1">
        <v>0.05</v>
      </c>
      <c r="K14" s="1">
        <v>0.05</v>
      </c>
      <c r="L14" s="1">
        <v>0.05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</row>
    <row r="15" spans="1:18" ht="15.75" thickBot="1" x14ac:dyDescent="0.3">
      <c r="A15" s="25"/>
      <c r="B15">
        <f t="shared" si="1"/>
        <v>15</v>
      </c>
      <c r="C15" s="1">
        <v>0.2</v>
      </c>
      <c r="D15" s="1">
        <v>0.15</v>
      </c>
      <c r="E15" s="1">
        <v>0.15</v>
      </c>
      <c r="F15" s="1">
        <v>0.1</v>
      </c>
      <c r="G15" s="1">
        <v>0.1</v>
      </c>
      <c r="H15" s="1">
        <v>0.05</v>
      </c>
      <c r="I15" s="1">
        <v>0.05</v>
      </c>
      <c r="J15" s="1">
        <v>0.05</v>
      </c>
      <c r="K15" s="1">
        <v>0.05</v>
      </c>
      <c r="L15" s="1">
        <v>0.05</v>
      </c>
      <c r="M15" s="1">
        <v>0.05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</row>
    <row r="16" spans="1:18" ht="15.75" thickBot="1" x14ac:dyDescent="0.3">
      <c r="A16" s="25"/>
      <c r="B16">
        <f t="shared" si="1"/>
        <v>16</v>
      </c>
      <c r="C16" s="2">
        <v>0</v>
      </c>
      <c r="D16" s="1">
        <v>0.2</v>
      </c>
      <c r="E16" s="1">
        <v>0.15</v>
      </c>
      <c r="F16" s="1">
        <v>0.15</v>
      </c>
      <c r="G16" s="1">
        <v>0.1</v>
      </c>
      <c r="H16" s="1">
        <v>0.1</v>
      </c>
      <c r="I16" s="1">
        <v>0.05</v>
      </c>
      <c r="J16" s="1">
        <v>0.05</v>
      </c>
      <c r="K16" s="1">
        <v>0.05</v>
      </c>
      <c r="L16" s="1">
        <v>0.05</v>
      </c>
      <c r="M16" s="1">
        <v>0.05</v>
      </c>
      <c r="N16" s="1">
        <v>0.05</v>
      </c>
      <c r="O16" s="2">
        <v>0</v>
      </c>
      <c r="P16" s="2">
        <v>0</v>
      </c>
      <c r="Q16" s="2">
        <v>0</v>
      </c>
      <c r="R16" s="2">
        <v>0</v>
      </c>
    </row>
    <row r="17" spans="1:18" ht="15.75" thickBot="1" x14ac:dyDescent="0.3">
      <c r="A17" s="25"/>
      <c r="B17">
        <f t="shared" si="1"/>
        <v>17</v>
      </c>
      <c r="C17" s="2">
        <v>0</v>
      </c>
      <c r="D17" s="2">
        <v>0</v>
      </c>
      <c r="E17" s="1">
        <v>0.2</v>
      </c>
      <c r="F17" s="1">
        <v>0.15</v>
      </c>
      <c r="G17" s="1">
        <v>0.15</v>
      </c>
      <c r="H17" s="1">
        <v>0.1</v>
      </c>
      <c r="I17" s="1">
        <v>0.1</v>
      </c>
      <c r="J17" s="1">
        <v>0.05</v>
      </c>
      <c r="K17" s="1">
        <v>0.05</v>
      </c>
      <c r="L17" s="1">
        <v>0.05</v>
      </c>
      <c r="M17" s="1">
        <v>0.05</v>
      </c>
      <c r="N17" s="1">
        <v>0.05</v>
      </c>
      <c r="O17" s="1">
        <v>0.05</v>
      </c>
      <c r="P17" s="2">
        <v>0</v>
      </c>
      <c r="Q17" s="2">
        <v>0</v>
      </c>
      <c r="R17" s="2">
        <v>0</v>
      </c>
    </row>
    <row r="18" spans="1:18" ht="15.75" thickBot="1" x14ac:dyDescent="0.3">
      <c r="A18" s="25"/>
      <c r="B18">
        <f t="shared" si="1"/>
        <v>18</v>
      </c>
      <c r="C18" s="2">
        <v>0</v>
      </c>
      <c r="D18" s="2">
        <v>0</v>
      </c>
      <c r="E18" s="2">
        <v>0</v>
      </c>
      <c r="F18" s="1">
        <v>0.2</v>
      </c>
      <c r="G18" s="1">
        <v>0.15</v>
      </c>
      <c r="H18" s="1">
        <v>0.15</v>
      </c>
      <c r="I18" s="1">
        <v>0.1</v>
      </c>
      <c r="J18" s="1">
        <v>0.1</v>
      </c>
      <c r="K18" s="1">
        <v>0.05</v>
      </c>
      <c r="L18" s="1">
        <v>0.05</v>
      </c>
      <c r="M18" s="1">
        <v>0.05</v>
      </c>
      <c r="N18" s="1">
        <v>0.05</v>
      </c>
      <c r="O18" s="1">
        <v>0.05</v>
      </c>
      <c r="P18" s="1">
        <v>0.05</v>
      </c>
      <c r="Q18" s="2">
        <v>0</v>
      </c>
      <c r="R18" s="2">
        <v>0</v>
      </c>
    </row>
    <row r="19" spans="1:18" ht="15.75" thickBot="1" x14ac:dyDescent="0.3">
      <c r="A19" s="25"/>
      <c r="B19">
        <f t="shared" si="1"/>
        <v>19</v>
      </c>
      <c r="C19" s="2">
        <v>0</v>
      </c>
      <c r="D19" s="2">
        <v>0</v>
      </c>
      <c r="E19" s="2">
        <v>0</v>
      </c>
      <c r="F19" s="2">
        <v>0</v>
      </c>
      <c r="G19" s="1">
        <v>0.2</v>
      </c>
      <c r="H19" s="1">
        <v>0.15</v>
      </c>
      <c r="I19" s="1">
        <v>0.15</v>
      </c>
      <c r="J19" s="1">
        <v>0.1</v>
      </c>
      <c r="K19" s="1">
        <v>0.1</v>
      </c>
      <c r="L19" s="1">
        <v>0.05</v>
      </c>
      <c r="M19" s="1">
        <v>0.05</v>
      </c>
      <c r="N19" s="1">
        <v>0.05</v>
      </c>
      <c r="O19" s="1">
        <v>0.05</v>
      </c>
      <c r="P19" s="1">
        <v>0.05</v>
      </c>
      <c r="Q19" s="1">
        <v>0.05</v>
      </c>
      <c r="R19" s="2">
        <v>0</v>
      </c>
    </row>
    <row r="20" spans="1:18" ht="15.75" thickBot="1" x14ac:dyDescent="0.3">
      <c r="A20" s="25"/>
      <c r="B20">
        <f t="shared" si="1"/>
        <v>20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1">
        <v>0.2</v>
      </c>
      <c r="I20" s="1">
        <v>0.15</v>
      </c>
      <c r="J20" s="1">
        <v>0.15</v>
      </c>
      <c r="K20" s="1">
        <v>0.1</v>
      </c>
      <c r="L20" s="1">
        <v>0.1</v>
      </c>
      <c r="M20" s="1">
        <v>0.05</v>
      </c>
      <c r="N20" s="1">
        <v>0.05</v>
      </c>
      <c r="O20" s="1">
        <v>0.05</v>
      </c>
      <c r="P20" s="1">
        <v>0.05</v>
      </c>
      <c r="Q20" s="1">
        <v>0.05</v>
      </c>
      <c r="R20" s="1">
        <v>0.05</v>
      </c>
    </row>
    <row r="21" spans="1:18" ht="15.75" thickBot="1" x14ac:dyDescent="0.3">
      <c r="A21" s="25"/>
      <c r="B21">
        <f t="shared" si="1"/>
        <v>21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1">
        <v>0.2</v>
      </c>
      <c r="J21" s="1">
        <v>0.15</v>
      </c>
      <c r="K21" s="1">
        <v>0.15</v>
      </c>
      <c r="L21" s="1">
        <v>0.1</v>
      </c>
      <c r="M21" s="1">
        <v>0.1</v>
      </c>
      <c r="N21" s="1">
        <v>0.05</v>
      </c>
      <c r="O21" s="1">
        <v>0.05</v>
      </c>
      <c r="P21" s="1">
        <v>0.05</v>
      </c>
      <c r="Q21" s="1">
        <v>0.05</v>
      </c>
      <c r="R21" s="1">
        <v>0.05</v>
      </c>
    </row>
    <row r="22" spans="1:18" ht="15.75" thickBot="1" x14ac:dyDescent="0.3">
      <c r="A22" s="25"/>
      <c r="B22">
        <f t="shared" si="1"/>
        <v>22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1">
        <v>0.2</v>
      </c>
      <c r="K22" s="1">
        <v>0.15</v>
      </c>
      <c r="L22" s="1">
        <v>0.15</v>
      </c>
      <c r="M22" s="1">
        <v>0.1</v>
      </c>
      <c r="N22" s="1">
        <v>0.1</v>
      </c>
      <c r="O22" s="1">
        <v>0.05</v>
      </c>
      <c r="P22" s="1">
        <v>0.05</v>
      </c>
      <c r="Q22" s="1">
        <v>0.05</v>
      </c>
      <c r="R22" s="1">
        <v>0.05</v>
      </c>
    </row>
    <row r="23" spans="1:18" ht="15.75" thickBot="1" x14ac:dyDescent="0.3">
      <c r="A23" s="25"/>
      <c r="B23">
        <f t="shared" si="1"/>
        <v>23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1">
        <v>0.2</v>
      </c>
      <c r="L23" s="1">
        <v>0.15</v>
      </c>
      <c r="M23" s="1">
        <v>0.15</v>
      </c>
      <c r="N23" s="1">
        <v>0.1</v>
      </c>
      <c r="O23" s="1">
        <v>0.1</v>
      </c>
      <c r="P23" s="1">
        <v>0.05</v>
      </c>
      <c r="Q23" s="1">
        <v>0.05</v>
      </c>
      <c r="R23" s="1">
        <v>0.05</v>
      </c>
    </row>
    <row r="24" spans="1:18" ht="15.75" thickBot="1" x14ac:dyDescent="0.3">
      <c r="A24" s="25"/>
      <c r="B24">
        <f t="shared" si="1"/>
        <v>24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1">
        <v>0.2</v>
      </c>
      <c r="M24" s="1">
        <v>0.15</v>
      </c>
      <c r="N24" s="1">
        <v>0.15</v>
      </c>
      <c r="O24" s="1">
        <v>0.1</v>
      </c>
      <c r="P24" s="1">
        <v>0.1</v>
      </c>
      <c r="Q24" s="1">
        <v>0.05</v>
      </c>
      <c r="R24" s="1">
        <v>0.05</v>
      </c>
    </row>
    <row r="25" spans="1:18" ht="15.75" thickBot="1" x14ac:dyDescent="0.3">
      <c r="A25" s="25"/>
      <c r="B25">
        <f t="shared" si="1"/>
        <v>25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1">
        <v>0.2</v>
      </c>
      <c r="N25" s="1">
        <v>0.15</v>
      </c>
      <c r="O25" s="1">
        <v>0.15</v>
      </c>
      <c r="P25" s="1">
        <v>0.1</v>
      </c>
      <c r="Q25" s="1">
        <v>0.1</v>
      </c>
      <c r="R25" s="1">
        <v>0.05</v>
      </c>
    </row>
    <row r="26" spans="1:18" ht="15.75" thickBot="1" x14ac:dyDescent="0.3">
      <c r="A26" s="25"/>
      <c r="B26">
        <f t="shared" si="1"/>
        <v>26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1">
        <v>0.2</v>
      </c>
      <c r="O26" s="1">
        <v>0.15</v>
      </c>
      <c r="P26" s="1">
        <v>0.15</v>
      </c>
      <c r="Q26" s="1">
        <v>0.1</v>
      </c>
      <c r="R26" s="1">
        <v>0.1</v>
      </c>
    </row>
    <row r="27" spans="1:18" ht="15.75" thickBot="1" x14ac:dyDescent="0.3">
      <c r="A27" s="25"/>
      <c r="B27">
        <f t="shared" si="1"/>
        <v>27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1">
        <v>0.2</v>
      </c>
      <c r="P27" s="1">
        <v>0.15</v>
      </c>
      <c r="Q27" s="1">
        <v>0.15</v>
      </c>
      <c r="R27" s="1">
        <v>0.1</v>
      </c>
    </row>
    <row r="28" spans="1:18" ht="15.75" thickBot="1" x14ac:dyDescent="0.3">
      <c r="A28" s="25"/>
      <c r="B28">
        <f t="shared" si="1"/>
        <v>28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1">
        <v>0.2</v>
      </c>
      <c r="Q28" s="1">
        <v>0.15</v>
      </c>
      <c r="R28" s="1">
        <v>0.15</v>
      </c>
    </row>
    <row r="29" spans="1:18" ht="15.75" thickBot="1" x14ac:dyDescent="0.3">
      <c r="A29" s="25"/>
      <c r="B29">
        <f t="shared" si="1"/>
        <v>29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1">
        <v>0.2</v>
      </c>
      <c r="R29" s="1">
        <v>0.15</v>
      </c>
    </row>
    <row r="30" spans="1:18" ht="15.75" thickBot="1" x14ac:dyDescent="0.3">
      <c r="A30" s="25"/>
      <c r="B30">
        <f t="shared" si="1"/>
        <v>30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1">
        <v>0.2</v>
      </c>
    </row>
    <row r="32" spans="1:18" x14ac:dyDescent="0.2"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</row>
    <row r="33" spans="1:18" ht="13.5" thickBot="1" x14ac:dyDescent="0.25">
      <c r="C33" s="5">
        <f>15</f>
        <v>15</v>
      </c>
      <c r="D33" s="5">
        <f>C33+1</f>
        <v>16</v>
      </c>
      <c r="E33" s="5">
        <f t="shared" ref="E33" si="2">D33+1</f>
        <v>17</v>
      </c>
      <c r="F33" s="5">
        <f t="shared" ref="F33" si="3">E33+1</f>
        <v>18</v>
      </c>
      <c r="G33" s="5">
        <f t="shared" ref="G33" si="4">F33+1</f>
        <v>19</v>
      </c>
      <c r="H33" s="5">
        <f t="shared" ref="H33" si="5">G33+1</f>
        <v>20</v>
      </c>
      <c r="I33" s="5">
        <f t="shared" ref="I33" si="6">H33+1</f>
        <v>21</v>
      </c>
      <c r="J33" s="5">
        <f t="shared" ref="J33" si="7">I33+1</f>
        <v>22</v>
      </c>
      <c r="K33" s="5">
        <f t="shared" ref="K33" si="8">J33+1</f>
        <v>23</v>
      </c>
      <c r="L33" s="5">
        <f t="shared" ref="L33" si="9">K33+1</f>
        <v>24</v>
      </c>
      <c r="M33" s="5">
        <f t="shared" ref="M33" si="10">L33+1</f>
        <v>25</v>
      </c>
      <c r="N33" s="5">
        <f t="shared" ref="N33" si="11">M33+1</f>
        <v>26</v>
      </c>
      <c r="O33" s="5">
        <f t="shared" ref="O33" si="12">N33+1</f>
        <v>27</v>
      </c>
      <c r="P33" s="5">
        <f t="shared" ref="P33" si="13">O33+1</f>
        <v>28</v>
      </c>
      <c r="Q33" s="5">
        <f t="shared" ref="Q33" si="14">P33+1</f>
        <v>29</v>
      </c>
      <c r="R33" s="5">
        <f t="shared" ref="R33" si="15">Q33+1</f>
        <v>30</v>
      </c>
    </row>
    <row r="34" spans="1:18" ht="15.75" thickBot="1" x14ac:dyDescent="0.3">
      <c r="A34" s="25" t="s">
        <v>1</v>
      </c>
      <c r="B34">
        <v>5</v>
      </c>
      <c r="C34" s="13">
        <v>-7125</v>
      </c>
      <c r="D34" s="13">
        <v>-7600</v>
      </c>
      <c r="E34" s="13">
        <v>-8075</v>
      </c>
      <c r="F34" s="13">
        <v>-8550</v>
      </c>
      <c r="G34" s="13">
        <v>-9025</v>
      </c>
      <c r="H34" s="13">
        <v>-9500</v>
      </c>
      <c r="I34" s="13">
        <v>-9975</v>
      </c>
      <c r="J34" s="13">
        <v>-10450</v>
      </c>
      <c r="K34" s="13">
        <v>-10925</v>
      </c>
      <c r="L34" s="13">
        <v>-11400</v>
      </c>
      <c r="M34" s="13">
        <v>-11875</v>
      </c>
      <c r="N34" s="13">
        <v>-12350</v>
      </c>
      <c r="O34" s="13">
        <v>-12825</v>
      </c>
      <c r="P34" s="13">
        <v>-13300</v>
      </c>
      <c r="Q34" s="13">
        <v>-13775</v>
      </c>
      <c r="R34" s="13">
        <v>-14250</v>
      </c>
    </row>
    <row r="35" spans="1:18" ht="15.75" thickBot="1" x14ac:dyDescent="0.3">
      <c r="A35" s="25"/>
      <c r="B35">
        <f>B34+1</f>
        <v>6</v>
      </c>
      <c r="C35" s="13">
        <v>-7125</v>
      </c>
      <c r="D35" s="13">
        <v>-7600</v>
      </c>
      <c r="E35" s="13">
        <v>-8075</v>
      </c>
      <c r="F35" s="13">
        <v>-8550</v>
      </c>
      <c r="G35" s="13">
        <v>-9025</v>
      </c>
      <c r="H35" s="13">
        <v>-9500</v>
      </c>
      <c r="I35" s="13">
        <v>-9975</v>
      </c>
      <c r="J35" s="13">
        <v>-10450</v>
      </c>
      <c r="K35" s="13">
        <v>-10925</v>
      </c>
      <c r="L35" s="13">
        <v>-11400</v>
      </c>
      <c r="M35" s="13">
        <v>-11875</v>
      </c>
      <c r="N35" s="13">
        <v>-12350</v>
      </c>
      <c r="O35" s="13">
        <v>-12825</v>
      </c>
      <c r="P35" s="13">
        <v>-13300</v>
      </c>
      <c r="Q35" s="13">
        <v>-13775</v>
      </c>
      <c r="R35" s="13">
        <v>-14250</v>
      </c>
    </row>
    <row r="36" spans="1:18" ht="15.75" thickBot="1" x14ac:dyDescent="0.3">
      <c r="A36" s="25"/>
      <c r="B36">
        <f t="shared" ref="B36:B59" si="16">B35+1</f>
        <v>7</v>
      </c>
      <c r="C36" s="13">
        <v>-7125</v>
      </c>
      <c r="D36" s="13">
        <v>-7600</v>
      </c>
      <c r="E36" s="13">
        <v>-8075</v>
      </c>
      <c r="F36" s="13">
        <v>-8550</v>
      </c>
      <c r="G36" s="13">
        <v>-9025</v>
      </c>
      <c r="H36" s="13">
        <v>-9500</v>
      </c>
      <c r="I36" s="13">
        <v>-9975</v>
      </c>
      <c r="J36" s="13">
        <v>-10450</v>
      </c>
      <c r="K36" s="13">
        <v>-10925</v>
      </c>
      <c r="L36" s="13">
        <v>-11400</v>
      </c>
      <c r="M36" s="13">
        <v>-11875</v>
      </c>
      <c r="N36" s="13">
        <v>-12350</v>
      </c>
      <c r="O36" s="13">
        <v>-12825</v>
      </c>
      <c r="P36" s="13">
        <v>-13300</v>
      </c>
      <c r="Q36" s="13">
        <v>-13775</v>
      </c>
      <c r="R36" s="13">
        <v>-14250</v>
      </c>
    </row>
    <row r="37" spans="1:18" ht="15.75" thickBot="1" x14ac:dyDescent="0.3">
      <c r="A37" s="25"/>
      <c r="B37">
        <f t="shared" si="16"/>
        <v>8</v>
      </c>
      <c r="C37" s="13">
        <v>-7125</v>
      </c>
      <c r="D37" s="13">
        <v>-7600</v>
      </c>
      <c r="E37" s="13">
        <v>-8075</v>
      </c>
      <c r="F37" s="13">
        <v>-8550</v>
      </c>
      <c r="G37" s="13">
        <v>-9025</v>
      </c>
      <c r="H37" s="13">
        <v>-9500</v>
      </c>
      <c r="I37" s="13">
        <v>-9975</v>
      </c>
      <c r="J37" s="13">
        <v>-10450</v>
      </c>
      <c r="K37" s="13">
        <v>-10925</v>
      </c>
      <c r="L37" s="13">
        <v>-11400</v>
      </c>
      <c r="M37" s="13">
        <v>-11875</v>
      </c>
      <c r="N37" s="13">
        <v>-12350</v>
      </c>
      <c r="O37" s="13">
        <v>-12825</v>
      </c>
      <c r="P37" s="13">
        <v>-13300</v>
      </c>
      <c r="Q37" s="13">
        <v>-13775</v>
      </c>
      <c r="R37" s="13">
        <v>-14250</v>
      </c>
    </row>
    <row r="38" spans="1:18" ht="15.75" thickBot="1" x14ac:dyDescent="0.3">
      <c r="A38" s="25"/>
      <c r="B38">
        <f t="shared" si="16"/>
        <v>9</v>
      </c>
      <c r="C38" s="13">
        <v>-7125</v>
      </c>
      <c r="D38" s="13">
        <v>-7600</v>
      </c>
      <c r="E38" s="13">
        <v>-8075</v>
      </c>
      <c r="F38" s="13">
        <v>-8550</v>
      </c>
      <c r="G38" s="13">
        <v>-9025</v>
      </c>
      <c r="H38" s="13">
        <v>-9500</v>
      </c>
      <c r="I38" s="13">
        <v>-9975</v>
      </c>
      <c r="J38" s="13">
        <v>-10450</v>
      </c>
      <c r="K38" s="13">
        <v>-10925</v>
      </c>
      <c r="L38" s="13">
        <v>-11400</v>
      </c>
      <c r="M38" s="13">
        <v>-11875</v>
      </c>
      <c r="N38" s="13">
        <v>-12350</v>
      </c>
      <c r="O38" s="13">
        <v>-12825</v>
      </c>
      <c r="P38" s="13">
        <v>-13300</v>
      </c>
      <c r="Q38" s="13">
        <v>-13775</v>
      </c>
      <c r="R38" s="13">
        <v>-14250</v>
      </c>
    </row>
    <row r="39" spans="1:18" ht="15.75" thickBot="1" x14ac:dyDescent="0.3">
      <c r="A39" s="25"/>
      <c r="B39">
        <f t="shared" si="16"/>
        <v>10</v>
      </c>
      <c r="C39" s="13">
        <v>-7125</v>
      </c>
      <c r="D39" s="13">
        <v>-7600</v>
      </c>
      <c r="E39" s="13">
        <v>-8075</v>
      </c>
      <c r="F39" s="13">
        <v>-8550</v>
      </c>
      <c r="G39" s="13">
        <v>-9025</v>
      </c>
      <c r="H39" s="13">
        <v>-9500</v>
      </c>
      <c r="I39" s="13">
        <v>-9975</v>
      </c>
      <c r="J39" s="13">
        <v>-10450</v>
      </c>
      <c r="K39" s="13">
        <v>-10925</v>
      </c>
      <c r="L39" s="13">
        <v>-11400</v>
      </c>
      <c r="M39" s="13">
        <v>-11875</v>
      </c>
      <c r="N39" s="13">
        <v>-12350</v>
      </c>
      <c r="O39" s="13">
        <v>-12825</v>
      </c>
      <c r="P39" s="13">
        <v>-13300</v>
      </c>
      <c r="Q39" s="13">
        <v>-13775</v>
      </c>
      <c r="R39" s="13">
        <v>-14250</v>
      </c>
    </row>
    <row r="40" spans="1:18" ht="15.75" thickBot="1" x14ac:dyDescent="0.3">
      <c r="A40" s="25"/>
      <c r="B40">
        <f t="shared" si="16"/>
        <v>11</v>
      </c>
      <c r="C40" s="13">
        <v>-7125</v>
      </c>
      <c r="D40" s="13">
        <v>-7600</v>
      </c>
      <c r="E40" s="13">
        <v>-8075</v>
      </c>
      <c r="F40" s="13">
        <v>-8550</v>
      </c>
      <c r="G40" s="13">
        <v>-9025</v>
      </c>
      <c r="H40" s="13">
        <v>-9500</v>
      </c>
      <c r="I40" s="13">
        <v>-9975</v>
      </c>
      <c r="J40" s="13">
        <v>-10450</v>
      </c>
      <c r="K40" s="13">
        <v>-10925</v>
      </c>
      <c r="L40" s="13">
        <v>-11400</v>
      </c>
      <c r="M40" s="13">
        <v>-11875</v>
      </c>
      <c r="N40" s="13">
        <v>-12350</v>
      </c>
      <c r="O40" s="13">
        <v>-12825</v>
      </c>
      <c r="P40" s="13">
        <v>-13300</v>
      </c>
      <c r="Q40" s="13">
        <v>-13775</v>
      </c>
      <c r="R40" s="13">
        <v>-14250</v>
      </c>
    </row>
    <row r="41" spans="1:18" ht="15.75" thickBot="1" x14ac:dyDescent="0.3">
      <c r="A41" s="25"/>
      <c r="B41">
        <f t="shared" si="16"/>
        <v>12</v>
      </c>
      <c r="C41" s="13">
        <v>-7125</v>
      </c>
      <c r="D41" s="13">
        <v>-7600</v>
      </c>
      <c r="E41" s="13">
        <v>-8075</v>
      </c>
      <c r="F41" s="13">
        <v>-8550</v>
      </c>
      <c r="G41" s="13">
        <v>-9025</v>
      </c>
      <c r="H41" s="13">
        <v>-9500</v>
      </c>
      <c r="I41" s="13">
        <v>-9975</v>
      </c>
      <c r="J41" s="13">
        <v>-10450</v>
      </c>
      <c r="K41" s="13">
        <v>-10925</v>
      </c>
      <c r="L41" s="13">
        <v>-11400</v>
      </c>
      <c r="M41" s="13">
        <v>-11875</v>
      </c>
      <c r="N41" s="13">
        <v>-12350</v>
      </c>
      <c r="O41" s="13">
        <v>-12825</v>
      </c>
      <c r="P41" s="13">
        <v>-13300</v>
      </c>
      <c r="Q41" s="13">
        <v>-13775</v>
      </c>
      <c r="R41" s="13">
        <v>-14250</v>
      </c>
    </row>
    <row r="42" spans="1:18" ht="15.75" thickBot="1" x14ac:dyDescent="0.3">
      <c r="A42" s="25"/>
      <c r="B42">
        <f t="shared" si="16"/>
        <v>13</v>
      </c>
      <c r="C42" s="13">
        <v>-7125</v>
      </c>
      <c r="D42" s="13">
        <v>-7600</v>
      </c>
      <c r="E42" s="13">
        <v>-8075</v>
      </c>
      <c r="F42" s="13">
        <v>-8550</v>
      </c>
      <c r="G42" s="13">
        <v>-9025</v>
      </c>
      <c r="H42" s="13">
        <v>-9500</v>
      </c>
      <c r="I42" s="13">
        <v>-9975</v>
      </c>
      <c r="J42" s="13">
        <v>-10450</v>
      </c>
      <c r="K42" s="13">
        <v>-10925</v>
      </c>
      <c r="L42" s="13">
        <v>-11400</v>
      </c>
      <c r="M42" s="13">
        <v>-11875</v>
      </c>
      <c r="N42" s="13">
        <v>-12350</v>
      </c>
      <c r="O42" s="13">
        <v>-12825</v>
      </c>
      <c r="P42" s="13">
        <v>-13300</v>
      </c>
      <c r="Q42" s="13">
        <v>-13775</v>
      </c>
      <c r="R42" s="13">
        <v>-14250</v>
      </c>
    </row>
    <row r="43" spans="1:18" ht="15.75" thickBot="1" x14ac:dyDescent="0.3">
      <c r="A43" s="25"/>
      <c r="B43">
        <f t="shared" si="16"/>
        <v>14</v>
      </c>
      <c r="C43" s="13">
        <v>-7125</v>
      </c>
      <c r="D43" s="13">
        <v>-7600</v>
      </c>
      <c r="E43" s="13">
        <v>-8075</v>
      </c>
      <c r="F43" s="13">
        <v>-8550</v>
      </c>
      <c r="G43" s="13">
        <v>-9025</v>
      </c>
      <c r="H43" s="13">
        <v>-9500</v>
      </c>
      <c r="I43" s="13">
        <v>-9975</v>
      </c>
      <c r="J43" s="13">
        <v>-10450</v>
      </c>
      <c r="K43" s="13">
        <v>-10925</v>
      </c>
      <c r="L43" s="13">
        <v>-11400</v>
      </c>
      <c r="M43" s="13">
        <v>-11875</v>
      </c>
      <c r="N43" s="13">
        <v>-12350</v>
      </c>
      <c r="O43" s="13">
        <v>-12825</v>
      </c>
      <c r="P43" s="13">
        <v>-13300</v>
      </c>
      <c r="Q43" s="13">
        <v>-13775</v>
      </c>
      <c r="R43" s="13">
        <v>-14250</v>
      </c>
    </row>
    <row r="44" spans="1:18" ht="15.75" thickBot="1" x14ac:dyDescent="0.3">
      <c r="A44" s="25"/>
      <c r="B44">
        <f t="shared" si="16"/>
        <v>15</v>
      </c>
      <c r="C44" s="13">
        <v>8625</v>
      </c>
      <c r="D44" s="13">
        <v>8150</v>
      </c>
      <c r="E44" s="13">
        <v>7675</v>
      </c>
      <c r="F44" s="13">
        <v>7200</v>
      </c>
      <c r="G44" s="13">
        <v>6725</v>
      </c>
      <c r="H44" s="13">
        <v>6250</v>
      </c>
      <c r="I44" s="13">
        <v>5775</v>
      </c>
      <c r="J44" s="13">
        <v>5300</v>
      </c>
      <c r="K44" s="13">
        <v>4825</v>
      </c>
      <c r="L44" s="13">
        <v>4350</v>
      </c>
      <c r="M44" s="13">
        <v>3875</v>
      </c>
      <c r="N44" s="13">
        <v>3400</v>
      </c>
      <c r="O44" s="13">
        <v>2925</v>
      </c>
      <c r="P44" s="13">
        <v>2450</v>
      </c>
      <c r="Q44" s="13">
        <v>1975</v>
      </c>
      <c r="R44" s="13">
        <v>1500</v>
      </c>
    </row>
    <row r="45" spans="1:18" ht="15.75" thickBot="1" x14ac:dyDescent="0.3">
      <c r="A45" s="25"/>
      <c r="B45">
        <f t="shared" si="16"/>
        <v>16</v>
      </c>
      <c r="C45" s="13">
        <v>0</v>
      </c>
      <c r="D45" s="13">
        <v>9200</v>
      </c>
      <c r="E45" s="13">
        <v>8725</v>
      </c>
      <c r="F45" s="13">
        <v>8250</v>
      </c>
      <c r="G45" s="13">
        <v>7775</v>
      </c>
      <c r="H45" s="13">
        <v>7300</v>
      </c>
      <c r="I45" s="13">
        <v>6825</v>
      </c>
      <c r="J45" s="13">
        <v>6350</v>
      </c>
      <c r="K45" s="13">
        <v>5875</v>
      </c>
      <c r="L45" s="13">
        <v>5400</v>
      </c>
      <c r="M45" s="13">
        <v>4925</v>
      </c>
      <c r="N45" s="13">
        <v>4450</v>
      </c>
      <c r="O45" s="13">
        <v>3975</v>
      </c>
      <c r="P45" s="13">
        <v>3500</v>
      </c>
      <c r="Q45" s="13">
        <v>3025</v>
      </c>
      <c r="R45" s="13">
        <v>2550</v>
      </c>
    </row>
    <row r="46" spans="1:18" ht="15.75" thickBot="1" x14ac:dyDescent="0.3">
      <c r="A46" s="25"/>
      <c r="B46">
        <f t="shared" si="16"/>
        <v>17</v>
      </c>
      <c r="C46" s="13">
        <v>0</v>
      </c>
      <c r="D46" s="13">
        <v>0</v>
      </c>
      <c r="E46" s="13">
        <v>9775</v>
      </c>
      <c r="F46" s="13">
        <v>9300</v>
      </c>
      <c r="G46" s="13">
        <v>8825</v>
      </c>
      <c r="H46" s="13">
        <v>8350</v>
      </c>
      <c r="I46" s="13">
        <v>7875</v>
      </c>
      <c r="J46" s="13">
        <v>7400</v>
      </c>
      <c r="K46" s="13">
        <v>6925</v>
      </c>
      <c r="L46" s="13">
        <v>6450</v>
      </c>
      <c r="M46" s="13">
        <v>5975</v>
      </c>
      <c r="N46" s="13">
        <v>5500</v>
      </c>
      <c r="O46" s="13">
        <v>5025</v>
      </c>
      <c r="P46" s="13">
        <v>4550</v>
      </c>
      <c r="Q46" s="13">
        <v>4075</v>
      </c>
      <c r="R46" s="13">
        <v>3600</v>
      </c>
    </row>
    <row r="47" spans="1:18" ht="15.75" thickBot="1" x14ac:dyDescent="0.3">
      <c r="A47" s="25"/>
      <c r="B47">
        <f t="shared" si="16"/>
        <v>18</v>
      </c>
      <c r="C47" s="13">
        <v>0</v>
      </c>
      <c r="D47" s="13">
        <v>0</v>
      </c>
      <c r="E47" s="13">
        <v>0</v>
      </c>
      <c r="F47" s="13">
        <v>10350</v>
      </c>
      <c r="G47" s="13">
        <v>9875</v>
      </c>
      <c r="H47" s="13">
        <v>9400</v>
      </c>
      <c r="I47" s="13">
        <v>8925</v>
      </c>
      <c r="J47" s="13">
        <v>8450</v>
      </c>
      <c r="K47" s="13">
        <v>7975</v>
      </c>
      <c r="L47" s="13">
        <v>7500</v>
      </c>
      <c r="M47" s="13">
        <v>7025</v>
      </c>
      <c r="N47" s="13">
        <v>6550</v>
      </c>
      <c r="O47" s="13">
        <v>6075</v>
      </c>
      <c r="P47" s="13">
        <v>5600</v>
      </c>
      <c r="Q47" s="13">
        <v>5125</v>
      </c>
      <c r="R47" s="13">
        <v>4650</v>
      </c>
    </row>
    <row r="48" spans="1:18" ht="15.75" thickBot="1" x14ac:dyDescent="0.3">
      <c r="A48" s="25"/>
      <c r="B48">
        <f t="shared" si="16"/>
        <v>19</v>
      </c>
      <c r="C48" s="13">
        <v>0</v>
      </c>
      <c r="D48" s="13">
        <v>0</v>
      </c>
      <c r="E48" s="13">
        <v>0</v>
      </c>
      <c r="F48" s="13">
        <v>0</v>
      </c>
      <c r="G48" s="13">
        <v>10925</v>
      </c>
      <c r="H48" s="13">
        <v>10450</v>
      </c>
      <c r="I48" s="13">
        <v>9975</v>
      </c>
      <c r="J48" s="13">
        <v>9500</v>
      </c>
      <c r="K48" s="13">
        <v>9025</v>
      </c>
      <c r="L48" s="13">
        <v>8550</v>
      </c>
      <c r="M48" s="13">
        <v>8075</v>
      </c>
      <c r="N48" s="13">
        <v>7600</v>
      </c>
      <c r="O48" s="13">
        <v>7125</v>
      </c>
      <c r="P48" s="13">
        <v>6650</v>
      </c>
      <c r="Q48" s="13">
        <v>6175</v>
      </c>
      <c r="R48" s="13">
        <v>5700</v>
      </c>
    </row>
    <row r="49" spans="1:18" ht="15.75" thickBot="1" x14ac:dyDescent="0.3">
      <c r="A49" s="25"/>
      <c r="B49">
        <f t="shared" si="16"/>
        <v>20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11500</v>
      </c>
      <c r="I49" s="13">
        <v>11025</v>
      </c>
      <c r="J49" s="13">
        <v>10550</v>
      </c>
      <c r="K49" s="13">
        <v>10075</v>
      </c>
      <c r="L49" s="13">
        <v>9600</v>
      </c>
      <c r="M49" s="13">
        <v>9125</v>
      </c>
      <c r="N49" s="13">
        <v>8650</v>
      </c>
      <c r="O49" s="13">
        <v>8175</v>
      </c>
      <c r="P49" s="13">
        <v>7700</v>
      </c>
      <c r="Q49" s="13">
        <v>7225</v>
      </c>
      <c r="R49" s="13">
        <v>6750</v>
      </c>
    </row>
    <row r="50" spans="1:18" ht="15.75" thickBot="1" x14ac:dyDescent="0.3">
      <c r="A50" s="25"/>
      <c r="B50">
        <f t="shared" si="16"/>
        <v>21</v>
      </c>
      <c r="C50" s="13">
        <v>0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11025</v>
      </c>
      <c r="J50" s="13">
        <v>10550</v>
      </c>
      <c r="K50" s="13">
        <v>10075</v>
      </c>
      <c r="L50" s="13">
        <v>9600</v>
      </c>
      <c r="M50" s="13">
        <v>9125</v>
      </c>
      <c r="N50" s="13">
        <v>8650</v>
      </c>
      <c r="O50" s="13">
        <v>8175</v>
      </c>
      <c r="P50" s="13">
        <v>7700</v>
      </c>
      <c r="Q50" s="13">
        <v>7225</v>
      </c>
      <c r="R50" s="13">
        <v>6750</v>
      </c>
    </row>
    <row r="51" spans="1:18" ht="15.75" thickBot="1" x14ac:dyDescent="0.3">
      <c r="A51" s="25"/>
      <c r="B51">
        <f t="shared" si="16"/>
        <v>22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10550</v>
      </c>
      <c r="K51" s="13">
        <v>10075</v>
      </c>
      <c r="L51" s="13">
        <v>9600</v>
      </c>
      <c r="M51" s="13">
        <v>9125</v>
      </c>
      <c r="N51" s="13">
        <v>8650</v>
      </c>
      <c r="O51" s="13">
        <v>8175</v>
      </c>
      <c r="P51" s="13">
        <v>7700</v>
      </c>
      <c r="Q51" s="13">
        <v>7225</v>
      </c>
      <c r="R51" s="13">
        <v>6750</v>
      </c>
    </row>
    <row r="52" spans="1:18" ht="15.75" thickBot="1" x14ac:dyDescent="0.3">
      <c r="A52" s="25"/>
      <c r="B52">
        <f t="shared" si="16"/>
        <v>23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10075</v>
      </c>
      <c r="L52" s="13">
        <v>9600</v>
      </c>
      <c r="M52" s="13">
        <v>9125</v>
      </c>
      <c r="N52" s="13">
        <v>8650</v>
      </c>
      <c r="O52" s="13">
        <v>8175</v>
      </c>
      <c r="P52" s="13">
        <v>7700</v>
      </c>
      <c r="Q52" s="13">
        <v>7225</v>
      </c>
      <c r="R52" s="13">
        <v>6750</v>
      </c>
    </row>
    <row r="53" spans="1:18" ht="15.75" thickBot="1" x14ac:dyDescent="0.3">
      <c r="A53" s="25"/>
      <c r="B53">
        <f t="shared" si="16"/>
        <v>24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9600</v>
      </c>
      <c r="M53" s="13">
        <v>9125</v>
      </c>
      <c r="N53" s="13">
        <v>8650</v>
      </c>
      <c r="O53" s="13">
        <v>8175</v>
      </c>
      <c r="P53" s="13">
        <v>7700</v>
      </c>
      <c r="Q53" s="13">
        <v>7225</v>
      </c>
      <c r="R53" s="13">
        <v>6750</v>
      </c>
    </row>
    <row r="54" spans="1:18" ht="15.75" thickBot="1" x14ac:dyDescent="0.3">
      <c r="A54" s="25"/>
      <c r="B54">
        <f t="shared" si="16"/>
        <v>25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9125</v>
      </c>
      <c r="N54" s="13">
        <v>8650</v>
      </c>
      <c r="O54" s="13">
        <v>8175</v>
      </c>
      <c r="P54" s="13">
        <v>7700</v>
      </c>
      <c r="Q54" s="13">
        <v>7225</v>
      </c>
      <c r="R54" s="13">
        <v>6750</v>
      </c>
    </row>
    <row r="55" spans="1:18" ht="15.75" thickBot="1" x14ac:dyDescent="0.3">
      <c r="A55" s="25"/>
      <c r="B55">
        <f t="shared" si="16"/>
        <v>26</v>
      </c>
      <c r="C55" s="13">
        <v>0</v>
      </c>
      <c r="D55" s="13">
        <v>0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8650</v>
      </c>
      <c r="O55" s="13">
        <v>8175</v>
      </c>
      <c r="P55" s="13">
        <v>7700</v>
      </c>
      <c r="Q55" s="13">
        <v>7225</v>
      </c>
      <c r="R55" s="13">
        <v>6750</v>
      </c>
    </row>
    <row r="56" spans="1:18" ht="15.75" thickBot="1" x14ac:dyDescent="0.3">
      <c r="A56" s="25"/>
      <c r="B56">
        <f t="shared" si="16"/>
        <v>27</v>
      </c>
      <c r="C56" s="13">
        <v>0</v>
      </c>
      <c r="D56" s="13">
        <v>0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 s="13">
        <v>8175</v>
      </c>
      <c r="P56" s="13">
        <v>7700</v>
      </c>
      <c r="Q56" s="13">
        <v>7225</v>
      </c>
      <c r="R56" s="13">
        <v>6750</v>
      </c>
    </row>
    <row r="57" spans="1:18" ht="15.75" thickBot="1" x14ac:dyDescent="0.3">
      <c r="A57" s="25"/>
      <c r="B57">
        <f t="shared" si="16"/>
        <v>28</v>
      </c>
      <c r="C57" s="13">
        <v>0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 s="13">
        <v>0</v>
      </c>
      <c r="P57" s="13">
        <v>7700</v>
      </c>
      <c r="Q57" s="13">
        <v>7225</v>
      </c>
      <c r="R57" s="13">
        <v>6750</v>
      </c>
    </row>
    <row r="58" spans="1:18" ht="15.75" thickBot="1" x14ac:dyDescent="0.3">
      <c r="A58" s="25"/>
      <c r="B58">
        <f>B57+1</f>
        <v>29</v>
      </c>
      <c r="C58" s="13">
        <v>0</v>
      </c>
      <c r="D58" s="13">
        <v>0</v>
      </c>
      <c r="E58" s="13">
        <v>0</v>
      </c>
      <c r="F58" s="14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  <c r="P58" s="13">
        <v>0</v>
      </c>
      <c r="Q58" s="13">
        <v>7225</v>
      </c>
      <c r="R58" s="13">
        <v>6750</v>
      </c>
    </row>
    <row r="59" spans="1:18" ht="15.75" thickBot="1" x14ac:dyDescent="0.3">
      <c r="A59" s="25"/>
      <c r="B59">
        <f t="shared" si="16"/>
        <v>30</v>
      </c>
      <c r="C59" s="13">
        <v>0</v>
      </c>
      <c r="D59" s="13">
        <v>0</v>
      </c>
      <c r="E59" s="16">
        <v>0</v>
      </c>
      <c r="F59" s="13">
        <v>0</v>
      </c>
      <c r="G59" s="17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 s="13">
        <v>0</v>
      </c>
      <c r="P59" s="13">
        <v>0</v>
      </c>
      <c r="Q59" s="13">
        <v>0</v>
      </c>
      <c r="R59" s="13">
        <v>6750</v>
      </c>
    </row>
    <row r="60" spans="1:18" ht="15" x14ac:dyDescent="0.25">
      <c r="F60" s="15"/>
    </row>
    <row r="61" spans="1:18" x14ac:dyDescent="0.2">
      <c r="B61" s="3" t="s">
        <v>2</v>
      </c>
      <c r="C61" s="6">
        <f>15</f>
        <v>15</v>
      </c>
      <c r="D61" s="6">
        <f>C61+1</f>
        <v>16</v>
      </c>
      <c r="E61" s="6">
        <f t="shared" ref="E61" si="17">D61+1</f>
        <v>17</v>
      </c>
      <c r="F61" s="6">
        <f t="shared" ref="F61" si="18">E61+1</f>
        <v>18</v>
      </c>
      <c r="G61" s="6">
        <f t="shared" ref="G61" si="19">F61+1</f>
        <v>19</v>
      </c>
      <c r="H61" s="6">
        <f t="shared" ref="H61" si="20">G61+1</f>
        <v>20</v>
      </c>
      <c r="I61" s="6">
        <f t="shared" ref="I61" si="21">H61+1</f>
        <v>21</v>
      </c>
      <c r="J61" s="6">
        <f t="shared" ref="J61" si="22">I61+1</f>
        <v>22</v>
      </c>
      <c r="K61" s="6">
        <f t="shared" ref="K61" si="23">J61+1</f>
        <v>23</v>
      </c>
      <c r="L61" s="6">
        <f t="shared" ref="L61" si="24">K61+1</f>
        <v>24</v>
      </c>
      <c r="M61" s="10">
        <f t="shared" ref="M61" si="25">L61+1</f>
        <v>25</v>
      </c>
      <c r="N61" s="6">
        <f t="shared" ref="N61" si="26">M61+1</f>
        <v>26</v>
      </c>
      <c r="O61" s="6">
        <f t="shared" ref="O61" si="27">N61+1</f>
        <v>27</v>
      </c>
      <c r="P61" s="6">
        <f t="shared" ref="P61" si="28">O61+1</f>
        <v>28</v>
      </c>
      <c r="Q61" s="6">
        <f t="shared" ref="Q61" si="29">P61+1</f>
        <v>29</v>
      </c>
      <c r="R61" s="6">
        <f t="shared" ref="R61" si="30">Q61+1</f>
        <v>30</v>
      </c>
    </row>
    <row r="62" spans="1:18" x14ac:dyDescent="0.2">
      <c r="B62" s="3" t="s">
        <v>3</v>
      </c>
      <c r="C62" s="8">
        <f>SUMPRODUCT(C5:C30,C34:C59)</f>
        <v>-3975</v>
      </c>
      <c r="D62" s="8">
        <f t="shared" ref="D62:R62" si="31">SUMPRODUCT(D5:D30,D34:D59)</f>
        <v>-1877.5</v>
      </c>
      <c r="E62" s="8">
        <f t="shared" si="31"/>
        <v>377.5</v>
      </c>
      <c r="F62" s="8">
        <f t="shared" si="31"/>
        <v>2002.5</v>
      </c>
      <c r="G62" s="8">
        <f t="shared" si="31"/>
        <v>3732.5</v>
      </c>
      <c r="H62" s="8">
        <f t="shared" si="31"/>
        <v>4780</v>
      </c>
      <c r="I62" s="8">
        <f t="shared" si="31"/>
        <v>5670</v>
      </c>
      <c r="J62" s="8">
        <f t="shared" si="31"/>
        <v>6455</v>
      </c>
      <c r="K62" s="8">
        <f t="shared" si="31"/>
        <v>7135</v>
      </c>
      <c r="L62" s="8">
        <f t="shared" si="31"/>
        <v>7762.5</v>
      </c>
      <c r="M62" s="11">
        <f>SUMPRODUCT(M5:M30,M34:M59)</f>
        <v>8337.5</v>
      </c>
      <c r="N62" s="8">
        <f t="shared" si="31"/>
        <v>8125</v>
      </c>
      <c r="O62" s="8">
        <f t="shared" si="31"/>
        <v>7860</v>
      </c>
      <c r="P62" s="8">
        <f t="shared" si="31"/>
        <v>7542.5</v>
      </c>
      <c r="Q62" s="8">
        <f t="shared" si="31"/>
        <v>7172.5</v>
      </c>
      <c r="R62" s="8">
        <f t="shared" si="31"/>
        <v>6750</v>
      </c>
    </row>
    <row r="63" spans="1:18" x14ac:dyDescent="0.2">
      <c r="B63" s="3" t="s">
        <v>4</v>
      </c>
      <c r="C63" s="7">
        <f>SUM(C5:C14)</f>
        <v>0.8</v>
      </c>
      <c r="D63" s="7">
        <f>SUM(D5:D14)</f>
        <v>0.65</v>
      </c>
      <c r="E63" s="7">
        <f>SUM(E5:E14)</f>
        <v>0.5</v>
      </c>
      <c r="F63" s="7">
        <f t="shared" ref="F63:R63" si="32">SUM(F5:F14)</f>
        <v>0.4</v>
      </c>
      <c r="G63" s="7">
        <f t="shared" si="32"/>
        <v>0.3</v>
      </c>
      <c r="H63" s="7">
        <f t="shared" si="32"/>
        <v>0.25</v>
      </c>
      <c r="I63" s="7">
        <f t="shared" si="32"/>
        <v>0.2</v>
      </c>
      <c r="J63" s="7">
        <f t="shared" si="32"/>
        <v>0.15000000000000002</v>
      </c>
      <c r="K63" s="7">
        <f t="shared" si="32"/>
        <v>0.1</v>
      </c>
      <c r="L63" s="7">
        <f t="shared" si="32"/>
        <v>0.05</v>
      </c>
      <c r="M63" s="12">
        <f>SUM(M5:M14)</f>
        <v>0</v>
      </c>
      <c r="N63" s="7">
        <f t="shared" si="32"/>
        <v>0</v>
      </c>
      <c r="O63" s="7">
        <f t="shared" si="32"/>
        <v>0</v>
      </c>
      <c r="P63" s="7">
        <f t="shared" si="32"/>
        <v>0</v>
      </c>
      <c r="Q63" s="7">
        <f t="shared" si="32"/>
        <v>0</v>
      </c>
      <c r="R63" s="7">
        <f t="shared" si="32"/>
        <v>0</v>
      </c>
    </row>
    <row r="67" spans="2:3" x14ac:dyDescent="0.2">
      <c r="B67" s="3" t="s">
        <v>5</v>
      </c>
      <c r="C67" s="9">
        <f>MAX(C62:R62)</f>
        <v>8337.5</v>
      </c>
    </row>
    <row r="68" spans="2:3" x14ac:dyDescent="0.2">
      <c r="B68" s="3" t="s">
        <v>6</v>
      </c>
      <c r="C68">
        <f>INDEX(C61:R61,1,MATCH(C67,C62:R62,0))</f>
        <v>25</v>
      </c>
    </row>
  </sheetData>
  <mergeCells count="4">
    <mergeCell ref="C3:R3"/>
    <mergeCell ref="A5:A30"/>
    <mergeCell ref="C32:R32"/>
    <mergeCell ref="A34:A5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ectedValue">
                <anchor moveWithCells="1" sizeWithCells="1">
                  <from>
                    <xdr:col>18</xdr:col>
                    <xdr:colOff>200025</xdr:colOff>
                    <xdr:row>33</xdr:row>
                    <xdr:rowOff>95250</xdr:rowOff>
                  </from>
                  <to>
                    <xdr:col>22</xdr:col>
                    <xdr:colOff>209550</xdr:colOff>
                    <xdr:row>42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E7505-6578-4D4F-A34D-C77B8C34510C}">
  <sheetPr codeName="Sheet2"/>
  <dimension ref="A1:E56"/>
  <sheetViews>
    <sheetView workbookViewId="0">
      <selection activeCell="B29" sqref="B29"/>
    </sheetView>
  </sheetViews>
  <sheetFormatPr defaultRowHeight="12.75" x14ac:dyDescent="0.2"/>
  <cols>
    <col min="1" max="1" width="68.28515625" bestFit="1" customWidth="1"/>
  </cols>
  <sheetData>
    <row r="1" spans="1:1" x14ac:dyDescent="0.2">
      <c r="A1" t="s">
        <v>7</v>
      </c>
    </row>
    <row r="2" spans="1:1" x14ac:dyDescent="0.2">
      <c r="A2" t="s">
        <v>8</v>
      </c>
    </row>
    <row r="3" spans="1:1" x14ac:dyDescent="0.2">
      <c r="A3" t="s">
        <v>9</v>
      </c>
    </row>
    <row r="4" spans="1:1" x14ac:dyDescent="0.2">
      <c r="A4" t="s">
        <v>10</v>
      </c>
    </row>
    <row r="5" spans="1:1" x14ac:dyDescent="0.2">
      <c r="A5" t="s">
        <v>11</v>
      </c>
    </row>
    <row r="6" spans="1:1" x14ac:dyDescent="0.2">
      <c r="A6" t="s">
        <v>12</v>
      </c>
    </row>
    <row r="7" spans="1:1" x14ac:dyDescent="0.2">
      <c r="A7" t="s">
        <v>13</v>
      </c>
    </row>
    <row r="8" spans="1:1" x14ac:dyDescent="0.2">
      <c r="A8" t="s">
        <v>14</v>
      </c>
    </row>
    <row r="13" spans="1:1" x14ac:dyDescent="0.2">
      <c r="A13" t="s">
        <v>15</v>
      </c>
    </row>
    <row r="14" spans="1:1" x14ac:dyDescent="0.2">
      <c r="A14" t="s">
        <v>16</v>
      </c>
    </row>
    <row r="15" spans="1:1" x14ac:dyDescent="0.2">
      <c r="A15" t="s">
        <v>17</v>
      </c>
    </row>
    <row r="16" spans="1:1" x14ac:dyDescent="0.2">
      <c r="A16" t="s">
        <v>18</v>
      </c>
    </row>
    <row r="17" spans="1:2" x14ac:dyDescent="0.2">
      <c r="A17" s="18" t="s">
        <v>19</v>
      </c>
    </row>
    <row r="18" spans="1:2" x14ac:dyDescent="0.2">
      <c r="A18" s="18" t="s">
        <v>20</v>
      </c>
    </row>
    <row r="19" spans="1:2" x14ac:dyDescent="0.2">
      <c r="A19" s="18" t="s">
        <v>21</v>
      </c>
      <c r="B19" t="s">
        <v>42</v>
      </c>
    </row>
    <row r="20" spans="1:2" x14ac:dyDescent="0.2">
      <c r="A20" s="18" t="s">
        <v>22</v>
      </c>
    </row>
    <row r="21" spans="1:2" x14ac:dyDescent="0.2">
      <c r="A21" t="s">
        <v>23</v>
      </c>
    </row>
    <row r="22" spans="1:2" x14ac:dyDescent="0.2">
      <c r="A22" t="s">
        <v>24</v>
      </c>
    </row>
    <row r="23" spans="1:2" x14ac:dyDescent="0.2">
      <c r="A23" s="19" t="s">
        <v>25</v>
      </c>
    </row>
    <row r="24" spans="1:2" x14ac:dyDescent="0.2">
      <c r="A24" s="19" t="s">
        <v>26</v>
      </c>
      <c r="B24" t="s">
        <v>41</v>
      </c>
    </row>
    <row r="25" spans="1:2" x14ac:dyDescent="0.2">
      <c r="A25" s="19" t="s">
        <v>27</v>
      </c>
    </row>
    <row r="26" spans="1:2" x14ac:dyDescent="0.2">
      <c r="A26" s="19" t="s">
        <v>22</v>
      </c>
    </row>
    <row r="27" spans="1:2" x14ac:dyDescent="0.2">
      <c r="A27" t="s">
        <v>28</v>
      </c>
    </row>
    <row r="28" spans="1:2" x14ac:dyDescent="0.2">
      <c r="A28" s="23" t="s">
        <v>29</v>
      </c>
    </row>
    <row r="29" spans="1:2" x14ac:dyDescent="0.2">
      <c r="A29" s="20" t="s">
        <v>30</v>
      </c>
    </row>
    <row r="30" spans="1:2" x14ac:dyDescent="0.2">
      <c r="A30" s="20" t="s">
        <v>31</v>
      </c>
      <c r="B30" t="s">
        <v>43</v>
      </c>
    </row>
    <row r="31" spans="1:2" x14ac:dyDescent="0.2">
      <c r="A31" s="20" t="s">
        <v>22</v>
      </c>
    </row>
    <row r="32" spans="1:2" x14ac:dyDescent="0.2">
      <c r="A32" t="s">
        <v>32</v>
      </c>
    </row>
    <row r="33" spans="1:5" x14ac:dyDescent="0.2">
      <c r="A33" t="s">
        <v>33</v>
      </c>
    </row>
    <row r="34" spans="1:5" x14ac:dyDescent="0.2">
      <c r="A34" t="s">
        <v>24</v>
      </c>
      <c r="E34" t="s">
        <v>44</v>
      </c>
    </row>
    <row r="35" spans="1:5" x14ac:dyDescent="0.2">
      <c r="A35" t="s">
        <v>34</v>
      </c>
      <c r="E35" t="s">
        <v>45</v>
      </c>
    </row>
    <row r="36" spans="1:5" x14ac:dyDescent="0.2">
      <c r="A36" s="21" t="s">
        <v>23</v>
      </c>
      <c r="B36" t="s">
        <v>46</v>
      </c>
    </row>
    <row r="37" spans="1:5" x14ac:dyDescent="0.2">
      <c r="A37" t="s">
        <v>35</v>
      </c>
    </row>
    <row r="38" spans="1:5" x14ac:dyDescent="0.2">
      <c r="A38" s="22" t="s">
        <v>36</v>
      </c>
      <c r="B38" t="s">
        <v>47</v>
      </c>
    </row>
    <row r="39" spans="1:5" x14ac:dyDescent="0.2">
      <c r="A39" t="s">
        <v>28</v>
      </c>
    </row>
    <row r="40" spans="1:5" x14ac:dyDescent="0.2">
      <c r="A40" t="s">
        <v>33</v>
      </c>
    </row>
    <row r="41" spans="1:5" x14ac:dyDescent="0.2">
      <c r="A41" t="s">
        <v>28</v>
      </c>
    </row>
    <row r="42" spans="1:5" x14ac:dyDescent="0.2">
      <c r="A42" t="s">
        <v>37</v>
      </c>
    </row>
    <row r="43" spans="1:5" x14ac:dyDescent="0.2">
      <c r="A43" t="s">
        <v>24</v>
      </c>
    </row>
    <row r="44" spans="1:5" x14ac:dyDescent="0.2">
      <c r="A44" t="s">
        <v>38</v>
      </c>
    </row>
    <row r="45" spans="1:5" x14ac:dyDescent="0.2">
      <c r="A45" t="s">
        <v>39</v>
      </c>
    </row>
    <row r="56" spans="1:1" x14ac:dyDescent="0.2">
      <c r="A56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2.28 Problem #5</vt:lpstr>
      <vt:lpstr>My VBA code.</vt:lpstr>
    </vt:vector>
  </TitlesOfParts>
  <Company>University of Pittsburgh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IEStudent</dc:creator>
  <cp:lastModifiedBy>Garrett Rust</cp:lastModifiedBy>
  <cp:lastPrinted>2009-01-23T15:52:41Z</cp:lastPrinted>
  <dcterms:created xsi:type="dcterms:W3CDTF">2005-02-02T16:08:23Z</dcterms:created>
  <dcterms:modified xsi:type="dcterms:W3CDTF">2021-09-27T09:16:59Z</dcterms:modified>
</cp:coreProperties>
</file>